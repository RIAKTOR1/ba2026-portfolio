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 (raw)" sheetId="1" state="visible" r:id="rId1"/>
    <sheet xmlns:r="http://schemas.openxmlformats.org/officeDocument/2006/relationships" name="Change Log &amp; 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Customer Name</t>
        </is>
      </c>
      <c r="D1" t="inlineStr">
        <is>
          <t>Channel</t>
        </is>
      </c>
      <c r="E1" t="inlineStr">
        <is>
          <t>Item SKU</t>
        </is>
      </c>
      <c r="F1" t="inlineStr">
        <is>
          <t>Qty</t>
        </is>
      </c>
      <c r="G1" t="inlineStr">
        <is>
          <t>Unit Price (KZT)</t>
        </is>
      </c>
      <c r="H1" t="inlineStr">
        <is>
          <t>Total (KZT)</t>
        </is>
      </c>
      <c r="I1" t="inlineStr">
        <is>
          <t>Status</t>
        </is>
      </c>
      <c r="J1" t="inlineStr">
        <is>
          <t>Ready to courier (min)</t>
        </is>
      </c>
    </row>
    <row r="2">
      <c r="A2" t="inlineStr">
        <is>
          <t>A1001</t>
        </is>
      </c>
      <c r="B2" t="inlineStr">
        <is>
          <t>05.10.2026</t>
        </is>
      </c>
      <c r="C2" t="inlineStr">
        <is>
          <t>Arman S.</t>
        </is>
      </c>
      <c r="D2" t="inlineStr">
        <is>
          <t>App</t>
        </is>
      </c>
      <c r="E2" t="inlineStr">
        <is>
          <t>LATTE-01</t>
        </is>
      </c>
      <c r="F2" t="n">
        <v>1</v>
      </c>
      <c r="G2" t="n">
        <v>1490</v>
      </c>
      <c r="H2" t="n">
        <v>1490</v>
      </c>
      <c r="I2" t="inlineStr">
        <is>
          <t>Delivered</t>
        </is>
      </c>
      <c r="J2" t="n">
        <v>8</v>
      </c>
    </row>
    <row r="3">
      <c r="A3" t="inlineStr">
        <is>
          <t>A1002</t>
        </is>
      </c>
      <c r="B3" t="inlineStr">
        <is>
          <t>06.10.2026</t>
        </is>
      </c>
      <c r="C3" t="inlineStr">
        <is>
          <t>Dulat K.</t>
        </is>
      </c>
      <c r="D3" t="inlineStr">
        <is>
          <t>App</t>
        </is>
      </c>
      <c r="E3" t="inlineStr">
        <is>
          <t>CAP-02</t>
        </is>
      </c>
      <c r="F3" t="n">
        <v>2</v>
      </c>
      <c r="G3" t="n">
        <v>1390</v>
      </c>
      <c r="H3" t="n">
        <v>2780</v>
      </c>
      <c r="I3" t="inlineStr">
        <is>
          <t>Delivered</t>
        </is>
      </c>
      <c r="J3" t="n">
        <v>9</v>
      </c>
    </row>
    <row r="4">
      <c r="A4" t="inlineStr">
        <is>
          <t>A1003</t>
        </is>
      </c>
      <c r="B4" t="inlineStr">
        <is>
          <t>05.10.2026</t>
        </is>
      </c>
      <c r="C4" t="inlineStr">
        <is>
          <t>Aida M.</t>
        </is>
      </c>
      <c r="D4" t="inlineStr">
        <is>
          <t>Counter</t>
        </is>
      </c>
      <c r="E4" t="inlineStr">
        <is>
          <t>AMER-01</t>
        </is>
      </c>
      <c r="F4" t="n">
        <v>1</v>
      </c>
      <c r="G4" t="n">
        <v>990</v>
      </c>
      <c r="H4" t="n">
        <v>990</v>
      </c>
      <c r="I4" t="inlineStr">
        <is>
          <t>Delivered</t>
        </is>
      </c>
      <c r="J4" t="n">
        <v>6</v>
      </c>
    </row>
    <row r="5">
      <c r="A5" t="inlineStr">
        <is>
          <t>A1004</t>
        </is>
      </c>
      <c r="B5" t="inlineStr">
        <is>
          <t>05.10.2026</t>
        </is>
      </c>
      <c r="C5" t="inlineStr">
        <is>
          <t>Berik T.</t>
        </is>
      </c>
      <c r="D5" t="inlineStr">
        <is>
          <t>app</t>
        </is>
      </c>
      <c r="E5" t="inlineStr">
        <is>
          <t>COLD-01</t>
        </is>
      </c>
      <c r="F5" t="n">
        <v>1</v>
      </c>
      <c r="G5" t="n">
        <v>1590</v>
      </c>
      <c r="H5" t="n">
        <v>1590</v>
      </c>
      <c r="I5" t="inlineStr">
        <is>
          <t>Delivered</t>
        </is>
      </c>
      <c r="J5" t="n">
        <v>11</v>
      </c>
    </row>
    <row r="6">
      <c r="A6" t="inlineStr">
        <is>
          <t>A1005</t>
        </is>
      </c>
      <c r="B6" t="inlineStr">
        <is>
          <t>05.10.2026</t>
        </is>
      </c>
      <c r="C6" t="inlineStr">
        <is>
          <t>Elena V.</t>
        </is>
      </c>
      <c r="D6" t="inlineStr">
        <is>
          <t>App</t>
        </is>
      </c>
      <c r="E6" t="inlineStr">
        <is>
          <t>MATCHA-01</t>
        </is>
      </c>
      <c r="F6" t="n">
        <v>1</v>
      </c>
      <c r="G6" t="n">
        <v>1690</v>
      </c>
      <c r="H6" t="n">
        <v>1690</v>
      </c>
      <c r="I6" t="inlineStr">
        <is>
          <t>Delivered</t>
        </is>
      </c>
      <c r="J6" t="n">
        <v>12</v>
      </c>
    </row>
    <row r="7">
      <c r="A7" t="inlineStr">
        <is>
          <t>A1006</t>
        </is>
      </c>
      <c r="B7" t="inlineStr">
        <is>
          <t>05.10.2026</t>
        </is>
      </c>
      <c r="C7" t="inlineStr">
        <is>
          <t>Kairat B.</t>
        </is>
      </c>
      <c r="D7" t="inlineStr">
        <is>
          <t>Phone</t>
        </is>
      </c>
      <c r="E7" t="inlineStr">
        <is>
          <t>CROIS-01</t>
        </is>
      </c>
      <c r="F7" t="n">
        <v>2</v>
      </c>
      <c r="G7" t="n">
        <v>1190</v>
      </c>
      <c r="H7" t="n">
        <v>2380</v>
      </c>
      <c r="I7" t="inlineStr">
        <is>
          <t>Delivered</t>
        </is>
      </c>
    </row>
    <row r="8">
      <c r="A8" t="inlineStr">
        <is>
          <t>A1007</t>
        </is>
      </c>
      <c r="B8" t="inlineStr">
        <is>
          <t>05.10.2026</t>
        </is>
      </c>
      <c r="C8" t="inlineStr">
        <is>
          <t>Marat O.</t>
        </is>
      </c>
      <c r="D8" t="inlineStr">
        <is>
          <t>App</t>
        </is>
      </c>
      <c r="E8" t="inlineStr">
        <is>
          <t>LATTE-01</t>
        </is>
      </c>
      <c r="F8" t="n">
        <v>1</v>
      </c>
      <c r="G8" t="n">
        <v>1490</v>
      </c>
      <c r="H8" t="n">
        <v>1490</v>
      </c>
      <c r="I8" t="inlineStr">
        <is>
          <t>Delivered</t>
        </is>
      </c>
      <c r="J8" t="n">
        <v>7</v>
      </c>
    </row>
    <row r="9">
      <c r="A9" t="inlineStr">
        <is>
          <t>A1008</t>
        </is>
      </c>
      <c r="B9" t="inlineStr">
        <is>
          <t>05.10.2026</t>
        </is>
      </c>
      <c r="C9" t="inlineStr">
        <is>
          <t>Saule Z.</t>
        </is>
      </c>
      <c r="D9" t="inlineStr">
        <is>
          <t>Counter</t>
        </is>
      </c>
      <c r="E9" t="inlineStr">
        <is>
          <t>FLAT-01</t>
        </is>
      </c>
      <c r="F9" t="n">
        <v>1</v>
      </c>
      <c r="G9" t="n">
        <v>1490</v>
      </c>
      <c r="H9" t="n">
        <v>1490</v>
      </c>
      <c r="I9" t="inlineStr">
        <is>
          <t>Delivered</t>
        </is>
      </c>
      <c r="J9" t="n">
        <v>8</v>
      </c>
    </row>
    <row r="10">
      <c r="A10" t="inlineStr">
        <is>
          <t>A1009</t>
        </is>
      </c>
      <c r="B10" t="inlineStr">
        <is>
          <t>05.10.2026</t>
        </is>
      </c>
      <c r="C10" t="inlineStr"/>
      <c r="D10" t="inlineStr">
        <is>
          <t>App</t>
        </is>
      </c>
      <c r="E10" t="inlineStr">
        <is>
          <t>CAP-02</t>
        </is>
      </c>
      <c r="F10" t="n">
        <v>1</v>
      </c>
      <c r="G10" t="n">
        <v>1390</v>
      </c>
      <c r="H10" t="n">
        <v>1390</v>
      </c>
      <c r="I10" t="inlineStr">
        <is>
          <t>Delivered</t>
        </is>
      </c>
      <c r="J10" t="n">
        <v>7</v>
      </c>
    </row>
    <row r="11">
      <c r="A11" t="inlineStr">
        <is>
          <t>A1010</t>
        </is>
      </c>
      <c r="B11" t="inlineStr">
        <is>
          <t>05.10.2026</t>
        </is>
      </c>
      <c r="C11" t="inlineStr">
        <is>
          <t>Nurlan K.</t>
        </is>
      </c>
      <c r="D11" t="inlineStr">
        <is>
          <t>App</t>
        </is>
      </c>
      <c r="E11" t="inlineStr">
        <is>
          <t>COLD-01</t>
        </is>
      </c>
      <c r="F11" t="n">
        <v>2</v>
      </c>
      <c r="G11" t="n">
        <v>1590</v>
      </c>
      <c r="H11" t="n">
        <v>3180</v>
      </c>
      <c r="I11" t="inlineStr">
        <is>
          <t>Delivered</t>
        </is>
      </c>
      <c r="J11" t="n">
        <v>12</v>
      </c>
    </row>
    <row r="12">
      <c r="A12" t="inlineStr">
        <is>
          <t>A1011</t>
        </is>
      </c>
      <c r="B12" t="inlineStr">
        <is>
          <t>05.10.2026</t>
        </is>
      </c>
      <c r="C12" t="inlineStr">
        <is>
          <t>Assel D.</t>
        </is>
      </c>
      <c r="D12" t="inlineStr">
        <is>
          <t>Counter</t>
        </is>
      </c>
      <c r="E12" t="inlineStr">
        <is>
          <t>AMER-01</t>
        </is>
      </c>
      <c r="F12" t="n">
        <v>1</v>
      </c>
      <c r="G12" t="n">
        <v>990</v>
      </c>
      <c r="H12" t="n">
        <v>990</v>
      </c>
      <c r="I12" t="inlineStr">
        <is>
          <t>Delivered</t>
        </is>
      </c>
      <c r="J12" t="n">
        <v>6</v>
      </c>
    </row>
    <row r="13">
      <c r="A13" t="inlineStr">
        <is>
          <t>A1012</t>
        </is>
      </c>
      <c r="B13" t="inlineStr">
        <is>
          <t>05.10.2026</t>
        </is>
      </c>
      <c r="C13" t="inlineStr">
        <is>
          <t>Igor S.</t>
        </is>
      </c>
      <c r="D13" t="inlineStr">
        <is>
          <t>App</t>
        </is>
      </c>
      <c r="E13" t="inlineStr">
        <is>
          <t>LATTE-01</t>
        </is>
      </c>
      <c r="F13" t="n">
        <v>1</v>
      </c>
      <c r="G13" t="n">
        <v>1490</v>
      </c>
      <c r="H13" t="n">
        <v>1490</v>
      </c>
      <c r="I13" t="inlineStr">
        <is>
          <t>Delivered</t>
        </is>
      </c>
      <c r="J13" t="n">
        <v>8</v>
      </c>
    </row>
    <row r="14">
      <c r="A14" t="inlineStr">
        <is>
          <t>A1013</t>
        </is>
      </c>
      <c r="B14" t="inlineStr">
        <is>
          <t>05.10.2026</t>
        </is>
      </c>
      <c r="C14" t="inlineStr">
        <is>
          <t>Dana R.</t>
        </is>
      </c>
      <c r="D14" t="inlineStr">
        <is>
          <t xml:space="preserve">APP </t>
        </is>
      </c>
      <c r="E14" t="inlineStr">
        <is>
          <t>COLD-01</t>
        </is>
      </c>
      <c r="F14" t="n">
        <v>1</v>
      </c>
      <c r="G14" t="n">
        <v>1590</v>
      </c>
      <c r="H14" t="n">
        <v>1590</v>
      </c>
      <c r="I14" t="inlineStr">
        <is>
          <t>Delivered</t>
        </is>
      </c>
      <c r="J14" t="n">
        <v>11</v>
      </c>
    </row>
    <row r="15">
      <c r="A15" t="inlineStr">
        <is>
          <t>A1014</t>
        </is>
      </c>
      <c r="B15" t="inlineStr">
        <is>
          <t>05.10.2026</t>
        </is>
      </c>
      <c r="C15" t="inlineStr">
        <is>
          <t>Timur A.</t>
        </is>
      </c>
      <c r="D15" t="inlineStr">
        <is>
          <t>Counter</t>
        </is>
      </c>
      <c r="E15" t="inlineStr">
        <is>
          <t>CAP-02</t>
        </is>
      </c>
      <c r="F15" t="n">
        <v>1</v>
      </c>
      <c r="G15" t="n">
        <v>1390</v>
      </c>
      <c r="H15" t="n">
        <v>1390</v>
      </c>
      <c r="I15" t="inlineStr">
        <is>
          <t>Delivered</t>
        </is>
      </c>
      <c r="J15" t="n">
        <v>7</v>
      </c>
    </row>
    <row r="16">
      <c r="A16" t="inlineStr">
        <is>
          <t>A1015</t>
        </is>
      </c>
      <c r="B16" t="inlineStr">
        <is>
          <t>05.10.2026</t>
        </is>
      </c>
      <c r="C16" t="inlineStr">
        <is>
          <t>Madina E.</t>
        </is>
      </c>
      <c r="D16" t="inlineStr">
        <is>
          <t>App</t>
        </is>
      </c>
      <c r="E16" t="inlineStr">
        <is>
          <t>LATTE-01</t>
        </is>
      </c>
      <c r="F16" t="n">
        <v>1</v>
      </c>
      <c r="G16" t="n">
        <v>1490</v>
      </c>
      <c r="H16" t="n">
        <v>1490</v>
      </c>
      <c r="I16" t="inlineStr">
        <is>
          <t>Delivered</t>
        </is>
      </c>
      <c r="J16" t="n">
        <v>240</v>
      </c>
    </row>
    <row r="17">
      <c r="A17" t="inlineStr">
        <is>
          <t>A1016</t>
        </is>
      </c>
      <c r="B17" t="inlineStr">
        <is>
          <t>05.10.2026</t>
        </is>
      </c>
      <c r="C17" t="inlineStr">
        <is>
          <t>Zhanar N.</t>
        </is>
      </c>
      <c r="D17" t="inlineStr">
        <is>
          <t>App</t>
        </is>
      </c>
      <c r="E17" t="inlineStr">
        <is>
          <t>FLAT-01</t>
        </is>
      </c>
      <c r="F17" t="n">
        <v>1</v>
      </c>
      <c r="G17" t="n">
        <v>1490</v>
      </c>
      <c r="H17" t="n">
        <v>1490</v>
      </c>
      <c r="I17" t="inlineStr">
        <is>
          <t>Delivered</t>
        </is>
      </c>
      <c r="J17" t="n">
        <v>9</v>
      </c>
    </row>
    <row r="18">
      <c r="A18" t="inlineStr">
        <is>
          <t>A1017</t>
        </is>
      </c>
      <c r="B18" t="inlineStr">
        <is>
          <t>05.10.2026</t>
        </is>
      </c>
      <c r="C18" t="inlineStr">
        <is>
          <t>Ruslan M.</t>
        </is>
      </c>
      <c r="D18" t="inlineStr">
        <is>
          <t>App</t>
        </is>
      </c>
      <c r="E18" t="inlineStr">
        <is>
          <t>LATTE-01</t>
        </is>
      </c>
      <c r="F18" t="n">
        <v>1</v>
      </c>
      <c r="G18" t="n">
        <v>1490</v>
      </c>
      <c r="H18" t="n">
        <v>1990</v>
      </c>
      <c r="I18" t="inlineStr">
        <is>
          <t>Delivered</t>
        </is>
      </c>
      <c r="J18" t="n">
        <v>8</v>
      </c>
    </row>
    <row r="19">
      <c r="A19" t="inlineStr">
        <is>
          <t>A1018</t>
        </is>
      </c>
      <c r="B19" t="inlineStr">
        <is>
          <t>05.10.2026</t>
        </is>
      </c>
      <c r="C19" t="inlineStr">
        <is>
          <t>Aliya S.</t>
        </is>
      </c>
      <c r="D19" t="inlineStr">
        <is>
          <t>Counter</t>
        </is>
      </c>
      <c r="E19" t="inlineStr">
        <is>
          <t>AMER-01</t>
        </is>
      </c>
      <c r="F19" t="n">
        <v>2</v>
      </c>
      <c r="G19" t="n">
        <v>990</v>
      </c>
      <c r="H19" t="n">
        <v>1980</v>
      </c>
      <c r="I19" t="inlineStr">
        <is>
          <t>Delivered</t>
        </is>
      </c>
      <c r="J19" t="n">
        <v>7</v>
      </c>
    </row>
    <row r="20">
      <c r="A20" t="inlineStr">
        <is>
          <t>A1019</t>
        </is>
      </c>
      <c r="B20" t="inlineStr">
        <is>
          <t>07.10.2026</t>
        </is>
      </c>
      <c r="C20" t="inlineStr">
        <is>
          <t>Sanzhar B.</t>
        </is>
      </c>
      <c r="D20" t="inlineStr">
        <is>
          <t>App</t>
        </is>
      </c>
      <c r="E20" t="inlineStr">
        <is>
          <t>COLD-01</t>
        </is>
      </c>
      <c r="F20" t="n">
        <v>1</v>
      </c>
      <c r="G20" t="n">
        <v>1590</v>
      </c>
      <c r="H20" t="n">
        <v>1590</v>
      </c>
      <c r="I20" t="inlineStr">
        <is>
          <t>Delivered</t>
        </is>
      </c>
      <c r="J20" t="n">
        <v>12</v>
      </c>
    </row>
    <row r="21">
      <c r="A21" t="inlineStr">
        <is>
          <t>A1020</t>
        </is>
      </c>
      <c r="B21" t="inlineStr">
        <is>
          <t>05.10.2026</t>
        </is>
      </c>
      <c r="C21" t="inlineStr">
        <is>
          <t>Gulnar T.</t>
        </is>
      </c>
      <c r="D21" t="inlineStr">
        <is>
          <t>App</t>
        </is>
      </c>
      <c r="E21" t="inlineStr">
        <is>
          <t>MATCHA-01</t>
        </is>
      </c>
      <c r="F21" t="n">
        <v>1</v>
      </c>
      <c r="G21" t="n">
        <v>1690</v>
      </c>
      <c r="H21" t="n">
        <v>1690</v>
      </c>
      <c r="I21" t="inlineStr">
        <is>
          <t>Delivered</t>
        </is>
      </c>
      <c r="J21" t="n">
        <v>10</v>
      </c>
    </row>
    <row r="22">
      <c r="A22" t="inlineStr">
        <is>
          <t>A1021</t>
        </is>
      </c>
      <c r="B22" t="inlineStr">
        <is>
          <t>05.10.2026</t>
        </is>
      </c>
      <c r="C22" t="inlineStr">
        <is>
          <t>Dias K.</t>
        </is>
      </c>
      <c r="D22" t="inlineStr">
        <is>
          <t>Phone</t>
        </is>
      </c>
      <c r="E22" t="inlineStr">
        <is>
          <t>LATTE-01</t>
        </is>
      </c>
      <c r="F22" t="n">
        <v>2</v>
      </c>
      <c r="G22" t="n">
        <v>1490</v>
      </c>
      <c r="H22" t="n">
        <v>2980</v>
      </c>
      <c r="I22" t="inlineStr">
        <is>
          <t>Delivered</t>
        </is>
      </c>
      <c r="J22" t="n">
        <v>9</v>
      </c>
    </row>
    <row r="23">
      <c r="A23" t="inlineStr">
        <is>
          <t>A1022</t>
        </is>
      </c>
      <c r="B23" t="inlineStr">
        <is>
          <t>05.10.2026</t>
        </is>
      </c>
      <c r="C23" t="inlineStr"/>
      <c r="D23" t="inlineStr">
        <is>
          <t>App</t>
        </is>
      </c>
      <c r="E23" t="inlineStr">
        <is>
          <t>CAP-02</t>
        </is>
      </c>
      <c r="F23" t="n">
        <v>1</v>
      </c>
      <c r="G23" t="n">
        <v>1390</v>
      </c>
      <c r="H23" t="n">
        <v>1390</v>
      </c>
      <c r="I23" t="inlineStr">
        <is>
          <t>Delivered</t>
        </is>
      </c>
      <c r="J23" t="n">
        <v>8</v>
      </c>
    </row>
    <row r="24">
      <c r="A24" t="inlineStr">
        <is>
          <t>A1023</t>
        </is>
      </c>
      <c r="B24" t="inlineStr">
        <is>
          <t>05.10.2026</t>
        </is>
      </c>
      <c r="C24" t="inlineStr">
        <is>
          <t>Bolat N.</t>
        </is>
      </c>
      <c r="D24" t="inlineStr">
        <is>
          <t>Counter</t>
        </is>
      </c>
      <c r="E24" t="inlineStr">
        <is>
          <t>AMER-01</t>
        </is>
      </c>
      <c r="F24" t="n">
        <v>1</v>
      </c>
      <c r="G24" t="n">
        <v>990</v>
      </c>
      <c r="H24" t="n">
        <v>990</v>
      </c>
      <c r="I24" t="inlineStr">
        <is>
          <t>Delivered</t>
        </is>
      </c>
      <c r="J24" t="n">
        <v>6</v>
      </c>
    </row>
    <row r="25">
      <c r="A25" t="inlineStr">
        <is>
          <t>A1024</t>
        </is>
      </c>
      <c r="B25" t="inlineStr">
        <is>
          <t>05.10.2026</t>
        </is>
      </c>
      <c r="C25" t="inlineStr">
        <is>
          <t>Anar K.</t>
        </is>
      </c>
      <c r="D25" t="inlineStr">
        <is>
          <t>App</t>
        </is>
      </c>
      <c r="E25" t="inlineStr">
        <is>
          <t>COLD-01</t>
        </is>
      </c>
      <c r="F25" t="n">
        <v>1</v>
      </c>
      <c r="G25" t="n">
        <v>1590</v>
      </c>
      <c r="H25" t="n">
        <v>1590</v>
      </c>
      <c r="I25" t="inlineStr">
        <is>
          <t>Delivered</t>
        </is>
      </c>
      <c r="J25" t="n">
        <v>12</v>
      </c>
    </row>
    <row r="26">
      <c r="A26" t="inlineStr">
        <is>
          <t>A1025</t>
        </is>
      </c>
      <c r="B26" t="inlineStr">
        <is>
          <t>05.10.2026</t>
        </is>
      </c>
      <c r="C26" t="inlineStr">
        <is>
          <t>Serik Y.</t>
        </is>
      </c>
      <c r="D26" t="inlineStr">
        <is>
          <t>App</t>
        </is>
      </c>
      <c r="E26" t="inlineStr">
        <is>
          <t>FLAT-01</t>
        </is>
      </c>
      <c r="F26" t="n">
        <v>1</v>
      </c>
      <c r="G26" t="n">
        <v>1490</v>
      </c>
      <c r="H26" t="n">
        <v>1490</v>
      </c>
      <c r="I26" t="inlineStr">
        <is>
          <t>Delivered</t>
        </is>
      </c>
      <c r="J26" t="n">
        <v>8</v>
      </c>
    </row>
    <row r="27">
      <c r="A27" t="inlineStr">
        <is>
          <t>A1026</t>
        </is>
      </c>
      <c r="B27" t="inlineStr">
        <is>
          <t>05.10.2026</t>
        </is>
      </c>
      <c r="C27" t="inlineStr">
        <is>
          <t>Alisher P.</t>
        </is>
      </c>
      <c r="D27" t="inlineStr">
        <is>
          <t>counter</t>
        </is>
      </c>
      <c r="E27" t="inlineStr">
        <is>
          <t>LATTE-01</t>
        </is>
      </c>
      <c r="F27" t="n">
        <v>1</v>
      </c>
      <c r="G27" t="n">
        <v>1490</v>
      </c>
      <c r="H27" t="n">
        <v>1490</v>
      </c>
      <c r="I27" t="inlineStr">
        <is>
          <t>Delivered</t>
        </is>
      </c>
      <c r="J27" t="n">
        <v>7</v>
      </c>
    </row>
    <row r="28">
      <c r="A28" t="inlineStr">
        <is>
          <t>A1027</t>
        </is>
      </c>
      <c r="B28" t="inlineStr">
        <is>
          <t>05.10.2026</t>
        </is>
      </c>
      <c r="C28" t="inlineStr">
        <is>
          <t>Zhibek S.</t>
        </is>
      </c>
      <c r="D28" t="inlineStr">
        <is>
          <t>App</t>
        </is>
      </c>
      <c r="E28" t="inlineStr">
        <is>
          <t>CAP-02</t>
        </is>
      </c>
      <c r="F28" t="n">
        <v>2</v>
      </c>
      <c r="G28" t="n">
        <v>1390</v>
      </c>
      <c r="H28" t="n">
        <v>2780</v>
      </c>
      <c r="I28" t="inlineStr">
        <is>
          <t>Delivered</t>
        </is>
      </c>
      <c r="J28" t="n">
        <v>9</v>
      </c>
    </row>
    <row r="29">
      <c r="A29" t="inlineStr">
        <is>
          <t>A1028</t>
        </is>
      </c>
      <c r="B29" t="inlineStr">
        <is>
          <t>05.10.2026</t>
        </is>
      </c>
      <c r="C29" t="inlineStr">
        <is>
          <t>Miras B.</t>
        </is>
      </c>
      <c r="D29" t="inlineStr">
        <is>
          <t>App</t>
        </is>
      </c>
      <c r="E29" t="inlineStr">
        <is>
          <t>COLD-01</t>
        </is>
      </c>
      <c r="F29" t="n">
        <v>-1</v>
      </c>
      <c r="G29" t="n">
        <v>1590</v>
      </c>
      <c r="H29" t="n">
        <v>-1590</v>
      </c>
      <c r="I29" t="inlineStr">
        <is>
          <t>Delivered</t>
        </is>
      </c>
      <c r="J29" t="n">
        <v>8</v>
      </c>
    </row>
    <row r="30">
      <c r="A30" t="inlineStr">
        <is>
          <t>A1029</t>
        </is>
      </c>
      <c r="B30" t="inlineStr">
        <is>
          <t>05.10.2026</t>
        </is>
      </c>
      <c r="C30" t="inlineStr">
        <is>
          <t>Dinara M.</t>
        </is>
      </c>
      <c r="D30" t="inlineStr">
        <is>
          <t>Phone</t>
        </is>
      </c>
      <c r="E30" t="inlineStr">
        <is>
          <t>AMER-01</t>
        </is>
      </c>
      <c r="F30" t="n">
        <v>1</v>
      </c>
      <c r="G30" t="n">
        <v>990</v>
      </c>
      <c r="H30" t="n">
        <v>990</v>
      </c>
      <c r="I30" t="inlineStr">
        <is>
          <t>Delivered</t>
        </is>
      </c>
      <c r="J30" t="n">
        <v>6</v>
      </c>
    </row>
    <row r="31">
      <c r="A31" t="inlineStr">
        <is>
          <t>A1030</t>
        </is>
      </c>
      <c r="B31" t="inlineStr">
        <is>
          <t>05.10.2026</t>
        </is>
      </c>
      <c r="C31" t="inlineStr">
        <is>
          <t>Kanat T.</t>
        </is>
      </c>
      <c r="D31" t="inlineStr">
        <is>
          <t>App</t>
        </is>
      </c>
      <c r="E31" t="inlineStr">
        <is>
          <t>LATTE-01</t>
        </is>
      </c>
      <c r="F31" t="n">
        <v>1</v>
      </c>
      <c r="G31" t="n">
        <v>1490</v>
      </c>
      <c r="H31" t="n">
        <v>1490</v>
      </c>
      <c r="I31" t="inlineStr">
        <is>
          <t>Delivered</t>
        </is>
      </c>
      <c r="J31" t="n">
        <v>8</v>
      </c>
    </row>
    <row r="32">
      <c r="A32" t="inlineStr">
        <is>
          <t>A1031</t>
        </is>
      </c>
      <c r="B32" t="inlineStr">
        <is>
          <t>05.10.2026</t>
        </is>
      </c>
      <c r="C32" t="inlineStr"/>
      <c r="D32" t="inlineStr">
        <is>
          <t>Counter</t>
        </is>
      </c>
      <c r="E32" t="inlineStr">
        <is>
          <t>FLAT-01</t>
        </is>
      </c>
      <c r="F32" t="n">
        <v>1</v>
      </c>
      <c r="G32" t="n">
        <v>1490</v>
      </c>
      <c r="H32" t="n">
        <v>1490</v>
      </c>
      <c r="I32" t="inlineStr">
        <is>
          <t>Delivered</t>
        </is>
      </c>
      <c r="J32" t="n">
        <v>7</v>
      </c>
    </row>
    <row r="33">
      <c r="A33" t="inlineStr">
        <is>
          <t>A1032</t>
        </is>
      </c>
      <c r="B33" t="inlineStr">
        <is>
          <t>05.10.2026</t>
        </is>
      </c>
      <c r="C33" t="inlineStr">
        <is>
          <t>Zarina O.</t>
        </is>
      </c>
      <c r="D33" t="inlineStr">
        <is>
          <t>App</t>
        </is>
      </c>
      <c r="E33" t="inlineStr">
        <is>
          <t>COLD-01</t>
        </is>
      </c>
      <c r="F33" t="n">
        <v>1</v>
      </c>
      <c r="G33" t="n">
        <v>1590</v>
      </c>
      <c r="H33" t="n">
        <v>1590</v>
      </c>
      <c r="I33" t="inlineStr">
        <is>
          <t>Delivered</t>
        </is>
      </c>
      <c r="J33" t="n">
        <v>12</v>
      </c>
    </row>
    <row r="34">
      <c r="A34" t="inlineStr">
        <is>
          <t>A1033</t>
        </is>
      </c>
      <c r="B34" t="inlineStr">
        <is>
          <t>05.10.2026</t>
        </is>
      </c>
      <c r="C34" t="inlineStr">
        <is>
          <t>Yerlan A.</t>
        </is>
      </c>
      <c r="D34" t="inlineStr">
        <is>
          <t>App</t>
        </is>
      </c>
      <c r="E34" t="inlineStr">
        <is>
          <t>MATCHA-01</t>
        </is>
      </c>
      <c r="F34" t="n">
        <v>1</v>
      </c>
      <c r="G34" t="n">
        <v>1690</v>
      </c>
      <c r="H34" t="n">
        <v>1690</v>
      </c>
      <c r="I34" t="inlineStr">
        <is>
          <t>Delivered</t>
        </is>
      </c>
      <c r="J34" t="n">
        <v>9</v>
      </c>
    </row>
    <row r="35">
      <c r="A35" t="inlineStr">
        <is>
          <t>A1034</t>
        </is>
      </c>
      <c r="B35" t="inlineStr">
        <is>
          <t>05.10.2026</t>
        </is>
      </c>
      <c r="C35" t="inlineStr">
        <is>
          <t>Bakhyt K.</t>
        </is>
      </c>
      <c r="D35" t="inlineStr">
        <is>
          <t>Counter</t>
        </is>
      </c>
      <c r="E35" t="inlineStr">
        <is>
          <t>CROIS-01</t>
        </is>
      </c>
      <c r="F35" t="n">
        <v>2</v>
      </c>
      <c r="G35" t="n">
        <v>1190</v>
      </c>
      <c r="H35" t="n">
        <v>2090</v>
      </c>
      <c r="I35" t="inlineStr">
        <is>
          <t>Delivered</t>
        </is>
      </c>
      <c r="J35" t="n">
        <v>6</v>
      </c>
    </row>
    <row r="36">
      <c r="A36" t="inlineStr">
        <is>
          <t>A1035</t>
        </is>
      </c>
      <c r="B36" t="inlineStr">
        <is>
          <t>05.10.2026</t>
        </is>
      </c>
      <c r="C36" t="inlineStr">
        <is>
          <t>Aruzhan D.</t>
        </is>
      </c>
      <c r="D36" t="inlineStr">
        <is>
          <t>App</t>
        </is>
      </c>
      <c r="E36" t="inlineStr">
        <is>
          <t>LATTE-01</t>
        </is>
      </c>
      <c r="F36" t="n">
        <v>1</v>
      </c>
      <c r="G36" t="n">
        <v>1490</v>
      </c>
      <c r="H36" t="n">
        <v>1490</v>
      </c>
      <c r="I36" t="inlineStr">
        <is>
          <t>Delivered</t>
        </is>
      </c>
      <c r="J36" t="n">
        <v>8</v>
      </c>
    </row>
    <row r="37">
      <c r="A37" t="inlineStr">
        <is>
          <t>A1036</t>
        </is>
      </c>
      <c r="B37" t="inlineStr">
        <is>
          <t>05.10.2026</t>
        </is>
      </c>
      <c r="C37" t="inlineStr">
        <is>
          <t>Murat S.</t>
        </is>
      </c>
      <c r="D37" t="inlineStr">
        <is>
          <t>App</t>
        </is>
      </c>
      <c r="E37" t="inlineStr">
        <is>
          <t>CAP-02</t>
        </is>
      </c>
      <c r="F37" t="n">
        <v>1</v>
      </c>
      <c r="G37" t="n">
        <v>1390</v>
      </c>
      <c r="H37" t="n">
        <v>1390</v>
      </c>
      <c r="I37" t="inlineStr">
        <is>
          <t>Delivered</t>
        </is>
      </c>
      <c r="J37" t="n">
        <v>7</v>
      </c>
    </row>
    <row r="38">
      <c r="A38" t="inlineStr">
        <is>
          <t>A1037</t>
        </is>
      </c>
      <c r="B38" t="inlineStr">
        <is>
          <t>05.10.2026</t>
        </is>
      </c>
      <c r="C38" t="inlineStr">
        <is>
          <t>Indira L.</t>
        </is>
      </c>
      <c r="D38" t="inlineStr">
        <is>
          <t>Counter</t>
        </is>
      </c>
      <c r="E38" t="inlineStr">
        <is>
          <t>AMER-01</t>
        </is>
      </c>
      <c r="F38" t="n">
        <v>1</v>
      </c>
      <c r="G38" t="n">
        <v>990</v>
      </c>
      <c r="H38" t="n">
        <v>990</v>
      </c>
      <c r="I38" t="inlineStr">
        <is>
          <t>Delivered</t>
        </is>
      </c>
      <c r="J38" t="n">
        <v>6</v>
      </c>
    </row>
    <row r="39">
      <c r="A39" t="inlineStr">
        <is>
          <t>A1038</t>
        </is>
      </c>
      <c r="B39" t="inlineStr">
        <is>
          <t>05.10.2026</t>
        </is>
      </c>
      <c r="C39" t="inlineStr">
        <is>
          <t>Talgat R.</t>
        </is>
      </c>
      <c r="D39" t="inlineStr">
        <is>
          <t>App</t>
        </is>
      </c>
      <c r="E39" t="inlineStr">
        <is>
          <t>COLD-01</t>
        </is>
      </c>
      <c r="F39" t="n">
        <v>1</v>
      </c>
      <c r="G39" t="n">
        <v>1590</v>
      </c>
      <c r="H39" t="n">
        <v>1590</v>
      </c>
      <c r="I39" t="inlineStr">
        <is>
          <t>Delivered</t>
        </is>
      </c>
      <c r="J39" t="n">
        <v>12</v>
      </c>
    </row>
    <row r="40">
      <c r="A40" t="inlineStr">
        <is>
          <t>A1007</t>
        </is>
      </c>
      <c r="B40" t="inlineStr">
        <is>
          <t>05.10.2026</t>
        </is>
      </c>
      <c r="C40" t="inlineStr">
        <is>
          <t>Marat O.</t>
        </is>
      </c>
      <c r="D40" t="inlineStr">
        <is>
          <t>App</t>
        </is>
      </c>
      <c r="E40" t="inlineStr">
        <is>
          <t>LATTE-01</t>
        </is>
      </c>
      <c r="F40" t="n">
        <v>1</v>
      </c>
      <c r="G40" t="n">
        <v>1490</v>
      </c>
      <c r="H40" t="n">
        <v>1490</v>
      </c>
      <c r="I40" t="inlineStr">
        <is>
          <t>Delivered</t>
        </is>
      </c>
      <c r="J40" t="n">
        <v>7</v>
      </c>
    </row>
    <row r="41">
      <c r="A41" t="inlineStr">
        <is>
          <t>A1020</t>
        </is>
      </c>
      <c r="B41" t="inlineStr">
        <is>
          <t>05.10.2026</t>
        </is>
      </c>
      <c r="C41" t="inlineStr">
        <is>
          <t>Gulnar T.</t>
        </is>
      </c>
      <c r="D41" t="inlineStr">
        <is>
          <t>App</t>
        </is>
      </c>
      <c r="E41" t="inlineStr">
        <is>
          <t>MATCHA-01</t>
        </is>
      </c>
      <c r="F41" t="n">
        <v>1</v>
      </c>
      <c r="G41" t="n">
        <v>1690</v>
      </c>
      <c r="H41" t="n">
        <v>1690</v>
      </c>
      <c r="I41" t="inlineStr">
        <is>
          <t>Delivered</t>
        </is>
      </c>
      <c r="J4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1: Identified Problems and Audit Fixes (Alma Orders Drill)</t>
        </is>
      </c>
    </row>
    <row r="2">
      <c r="A2" t="inlineStr">
        <is>
          <t>#</t>
        </is>
      </c>
      <c r="B2" t="inlineStr">
        <is>
          <t>Problem Found</t>
        </is>
      </c>
      <c r="C2" t="inlineStr">
        <is>
          <t>Where (Order ID / Cell)</t>
        </is>
      </c>
      <c r="D2" t="inlineStr">
        <is>
          <t>Audit Action</t>
        </is>
      </c>
      <c r="E2" t="inlineStr">
        <is>
          <t>Tool / Excel Formula</t>
        </is>
      </c>
    </row>
    <row r="3">
      <c r="A3" t="n">
        <v>1</v>
      </c>
      <c r="B3" t="inlineStr">
        <is>
          <t>Exact duplicate order rows</t>
        </is>
      </c>
      <c r="C3" t="inlineStr">
        <is>
          <t>A1007 (Row 40) &amp; A1020 (Row 41)</t>
        </is>
      </c>
      <c r="D3" t="inlineStr">
        <is>
          <t>Removed 2 duplicates; reduced dataset from 40 raw rows to 38 unique orders</t>
        </is>
      </c>
      <c r="E3" t="inlineStr">
        <is>
          <t>Data &gt; Remove Duplicates / =UNIQUE(A2:J41)</t>
        </is>
      </c>
    </row>
    <row r="4">
      <c r="A4" t="n">
        <v>2</v>
      </c>
      <c r="B4" t="inlineStr">
        <is>
          <t>Inconsistent text casing &amp; trailing space</t>
        </is>
      </c>
      <c r="C4" t="inlineStr">
        <is>
          <t>A1004 (app), A1013 (APP ), A1026 (counter)</t>
        </is>
      </c>
      <c r="D4" t="inlineStr">
        <is>
          <t>Stripped whitespace; converted to Title Case (App, Counter, Phone)</t>
        </is>
      </c>
      <c r="E4">
        <f>PROPER(TRIM(D2))</f>
        <v/>
      </c>
    </row>
    <row r="5">
      <c r="A5" t="n">
        <v>3</v>
      </c>
      <c r="B5" t="inlineStr">
        <is>
          <t>Hardcoded calculation errors</t>
        </is>
      </c>
      <c r="C5" t="inlineStr">
        <is>
          <t>A1017 (H18=1990 vs 1490) &amp; A1034 (H35=2090 vs 2380)</t>
        </is>
      </c>
      <c r="D5" t="inlineStr">
        <is>
          <t>Replaced hardcoded entries with dynamic multiplication formula</t>
        </is>
      </c>
      <c r="E5">
        <f>F2*G2</f>
        <v/>
      </c>
    </row>
    <row r="6">
      <c r="A6" t="n">
        <v>4</v>
      </c>
      <c r="B6" t="inlineStr">
        <is>
          <t>Dates stored as text strings</t>
        </is>
      </c>
      <c r="C6" t="inlineStr">
        <is>
          <t>A1002 (B3=06.10.2026) &amp; A1019 (B20=07.10.2026)</t>
        </is>
      </c>
      <c r="D6" t="inlineStr">
        <is>
          <t>Converted to true date serials with uniform formatting</t>
        </is>
      </c>
      <c r="E6" t="inlineStr">
        <is>
          <t>DATEVALUE() / DD.MM.YYYY</t>
        </is>
      </c>
    </row>
    <row r="7">
      <c r="A7" t="n">
        <v>5</v>
      </c>
      <c r="B7" t="inlineStr">
        <is>
          <t>Extreme 4-hour outlier in prep time</t>
        </is>
      </c>
      <c r="C7" t="inlineStr">
        <is>
          <t>A1015 (J16 = 240 min)</t>
        </is>
      </c>
      <c r="D7" t="inlineStr">
        <is>
          <t>Excluded unclosed tablet timer outlier from average calculation</t>
        </is>
      </c>
      <c r="E7">
        <f>AVERAGEIF(J2:J39, "&lt;60")</f>
        <v/>
      </c>
    </row>
    <row r="8">
      <c r="A8" t="n">
        <v>6</v>
      </c>
      <c r="B8" t="inlineStr">
        <is>
          <t>Missing values (blank customer &amp; prep time)</t>
        </is>
      </c>
      <c r="C8" t="inlineStr">
        <is>
          <t>A1006 (J7 blank); A1009, A1022, A1031 (C blank)</t>
        </is>
      </c>
      <c r="D8" t="inlineStr">
        <is>
          <t>Labeled walk-in customers; left prep time blank without guessing</t>
        </is>
      </c>
      <c r="E8">
        <f>IF(ISBLANK(C2), "Walk-in (Unrecorded)", C2)</f>
        <v/>
      </c>
    </row>
    <row r="9">
      <c r="A9" t="n">
        <v>7</v>
      </c>
      <c r="B9" t="inlineStr">
        <is>
          <t>Impossible negative quantity on delivered order</t>
        </is>
      </c>
      <c r="C9" t="inlineStr">
        <is>
          <t>A1028 (F29 = -1, H29 = -1590 KZT)</t>
        </is>
      </c>
      <c r="D9" t="inlineStr">
        <is>
          <t>Flagged for human POS receipt audit; verified and corrected to +1</t>
        </is>
      </c>
      <c r="E9" t="inlineStr">
        <is>
          <t>Conditional Formatting (&lt;0) + Human Audit</t>
        </is>
      </c>
    </row>
    <row r="11">
      <c r="A11" t="inlineStr">
        <is>
          <t>Step 2: Four Core Performance Metrics (KPIs)</t>
        </is>
      </c>
    </row>
    <row r="12">
      <c r="A12" t="inlineStr">
        <is>
          <t>KPI #</t>
        </is>
      </c>
      <c r="B12" t="inlineStr">
        <is>
          <t>Metric Name</t>
        </is>
      </c>
      <c r="C12" t="inlineStr">
        <is>
          <t>Formula / Method</t>
        </is>
      </c>
      <c r="D12" t="inlineStr">
        <is>
          <t>Cleaned Value</t>
        </is>
      </c>
      <c r="E12" t="inlineStr">
        <is>
          <t>Raw / Distorted Value</t>
        </is>
      </c>
      <c r="F12" t="inlineStr">
        <is>
          <t>Trust Assessment &amp; Rationale</t>
        </is>
      </c>
    </row>
    <row r="13">
      <c r="A13" t="n">
        <v>1</v>
      </c>
      <c r="B13" t="inlineStr">
        <is>
          <t>Unique Orders</t>
        </is>
      </c>
      <c r="C13">
        <f>COUNTA(A2:A39)</f>
        <v/>
      </c>
      <c r="D13" t="inlineStr">
        <is>
          <t>38 unique orders</t>
        </is>
      </c>
      <c r="E13" t="inlineStr">
        <is>
          <t>40 raw rows</t>
        </is>
      </c>
      <c r="F13" t="inlineStr">
        <is>
          <t>Trusted: Removing duplicate rows A1007 &amp; A1020 prevents double-counting volume.</t>
        </is>
      </c>
    </row>
    <row r="14">
      <c r="A14" t="n">
        <v>2</v>
      </c>
      <c r="B14" t="inlineStr">
        <is>
          <t>Share of App Orders (%)</t>
        </is>
      </c>
      <c r="C14">
        <f>COUNTIF(D2:D39,"App")/38</f>
        <v/>
      </c>
      <c r="D14" t="inlineStr">
        <is>
          <t>65.79% (25 / 38)</t>
        </is>
      </c>
      <c r="E14" t="inlineStr">
        <is>
          <t>62.50% (25 / 40)</t>
        </is>
      </c>
      <c r="F14" t="inlineStr">
        <is>
          <t>Trusted: TRIM/PROPER captures hidden trailing space in A1013 and lowercase A1004.</t>
        </is>
      </c>
    </row>
    <row r="15">
      <c r="A15" t="n">
        <v>3</v>
      </c>
      <c r="B15" t="inlineStr">
        <is>
          <t>Average Ready-to-Courier (min)</t>
        </is>
      </c>
      <c r="C15">
        <f>AVERAGEIF(J2:J39,"&lt;60")</f>
        <v/>
      </c>
      <c r="D15" t="inlineStr">
        <is>
          <t>8.75 min (n = 36)</t>
        </is>
      </c>
      <c r="E15" t="inlineStr">
        <is>
          <t>15.00 min (distorted)</t>
        </is>
      </c>
      <c r="F15" t="inlineStr">
        <is>
          <t>Trusted: Raw 15.00 min inflated by +71.4% due to single unclosed 240-min timer.</t>
        </is>
      </c>
    </row>
    <row r="16">
      <c r="A16" t="n">
        <v>4</v>
      </c>
      <c r="B16" t="inlineStr">
        <is>
          <t>Share of Orders &gt;10 min (%)</t>
        </is>
      </c>
      <c r="C16">
        <f>COUNTIF(J2:J39,"&gt;10")/36</f>
        <v/>
      </c>
      <c r="D16" t="inlineStr">
        <is>
          <t>22.22% (8 / 36)</t>
        </is>
      </c>
      <c r="E16" t="inlineStr">
        <is>
          <t>24.32% (with outlier)</t>
        </is>
      </c>
      <c r="F16" t="inlineStr">
        <is>
          <t>Trusted with caution: 8 orders breach 10 min during Cold-brew rush; requires shift audit.</t>
        </is>
      </c>
    </row>
    <row r="18">
      <c r="A18" t="inlineStr">
        <is>
          <t>Step 3: Executive Decision Sentence</t>
        </is>
      </c>
    </row>
    <row r="19">
      <c r="A19" t="inlineStr">
        <is>
          <t>Because the cleaned average ready-to-courier time is 8.75 minutes (meeting the 10-minute operational target, unlike the distorted 15.00-minute uncleaned figure) while 22.22% of valid orders still breach 10 minutes during cold-brew peak rushes, the manager should reallocate a second barista to pre-batch cold-brew items during peak app windows rather than pausing app orders globally—provided a human Shift Lead audits POS receipts for negative order A1028 and outlier A1015.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2026-10-29T18:49:54Z</dcterms:created>
  <dcterms:modified xmlns:dcterms="http://purl.org/dc/terms/" xmlns:xsi="http://www.w3.org/2001/XMLSchema-instance" xsi:type="dcterms:W3CDTF">2026-10-29T18:49:54Z</dcterms:modified>
</cp:coreProperties>
</file>